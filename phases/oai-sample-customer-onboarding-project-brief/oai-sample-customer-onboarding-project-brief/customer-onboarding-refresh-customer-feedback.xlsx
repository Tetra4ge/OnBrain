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2cd3911df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8c2b02fd544c75"/>
    <x:sheet xmlns:r="http://schemas.openxmlformats.org/officeDocument/2006/relationships" name="Customer Feedback" sheetId="2" r:id="Rfe203318be2f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%"/>
  </x:numFmts>
  <x:fonts count="8">
    <x:font>
      <x:sz val="11"/>
      <x:name val="Carlito"/>
    </x:font>
    <x:font>
      <x:sz val="10"/>
      <x:name val="Aptos"/>
    </x:font>
    <x:font>
      <x:i/>
      <x:sz val="10"/>
      <x:color rgb="FF134E4A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i/>
      <x:sz val="11"/>
      <x:color rgb="FF134E4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0F2F1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</x:fills>
  <x:borders count="10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200" fontId="1" fillId="0" borderId="5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200" fontId="1" fillId="0" borderId="8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/>
    </x:xf>
    <x:xf numFmtId="0" fontId="6" fillId="4" borderId="1" xfId="0" applyNumberFormat="1" applyFont="1" applyFill="1" applyBorder="1"/>
    <x:xf numFmtId="0" fontId="6" fillId="4" borderId="3" xfId="0" applyNumberFormat="1" applyFont="1" applyFill="1" applyBorder="1"/>
    <x:xf numFmtId="0" fontId="7" fillId="0" borderId="4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7" fillId="0" borderId="7" xfId="0" applyNumberFormat="1" applyFont="1" applyFill="1" applyBorder="1"/>
    <x:xf numFmtId="202" fontId="0" fillId="0" borderId="9" xfId="0" applyNumberFormat="1" applyFont="1" applyFill="1" applyBorder="1"/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/>
    </x:xf>
    <x:xf numFmtId="201" fontId="1" fillId="0" borderId="8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292553249432a" /><Relationship Type="http://schemas.openxmlformats.org/officeDocument/2006/relationships/theme" Target="/xl/theme/theme1.xml" Id="R1b7528c24b84401b" /><Relationship Type="http://schemas.openxmlformats.org/officeDocument/2006/relationships/sharedStrings" Target="/xl/sharedStrings.xml" Id="Rab974e584b5645f7" /><Relationship Type="http://schemas.openxmlformats.org/officeDocument/2006/relationships/worksheet" Target="/xl/worksheets/sheet1.xml" Id="Rd88c2b02fd544c75" /><Relationship Type="http://schemas.openxmlformats.org/officeDocument/2006/relationships/worksheet" Target="/xl/worksheets/sheet2.xml" Id="Rfe203318be2f48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499abe792345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Customer Feedback Themes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Mentions</c:v>
          </c:tx>
          <c:cat>
            <c:strRef>
              <c:f>'Summary'!$A$11:$A$20</c:f>
              <c:strCache>
                <c:ptCount val="0"/>
              </c:strCache>
            </c:strRef>
          </c:cat>
          <c:val>
            <c:numRef>
              <c:f>'Summary'!$B$11:$B$20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499abe792345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hemeSummary" displayName="ThemeSummary" ref="A10:E20" headerRowCount="1">
  <x:autoFilter ref="A10:E20"/>
  <x:tableColumns count="5">
    <x:tableColumn id="1" name="Theme"/>
    <x:tableColumn id="2" name="Mentions"/>
    <x:tableColumn id="3" name="Avg Rating"/>
    <x:tableColumn id="4" name="Representative Evidence"/>
    <x:tableColumn id="5" name="Brief Implication"/>
  </x:tableColumns>
  <x:tableStyleInfo name="TableStyleMedium4" showRowStripes="1"/>
</x:table>
</file>

<file path=xl/tables/table2.xml><?xml version="1.0" encoding="utf-8"?>
<x:table xmlns:x="http://schemas.openxmlformats.org/spreadsheetml/2006/main" id="1" name="CustomerFeedback" displayName="CustomerFeedback" ref="A2:O22" headerRowCount="1">
  <x:autoFilter ref="A2:O22"/>
  <x:tableColumns count="15">
    <x:tableColumn id="1" name="Feedback ID"/>
    <x:tableColumn id="2" name="Customer"/>
    <x:tableColumn id="3" name="Segment"/>
    <x:tableColumn id="4" name="Respondent Role"/>
    <x:tableColumn id="5" name="Onboarded Month"/>
    <x:tableColumn id="6" name="Overall Rating"/>
    <x:tableColumn id="7" name="Days To First Value"/>
    <x:tableColumn id="8" name="Setup Status"/>
    <x:tableColumn id="9" name="Liked - Verbatim"/>
    <x:tableColumn id="10" name="Disliked Or Pain Point - Verbatim"/>
    <x:tableColumn id="11" name="Requested Improvement"/>
    <x:tableColumn id="12" name="Theme Tags"/>
    <x:tableColumn id="13" name="Severity"/>
    <x:tableColumn id="14" name="Source"/>
    <x:tableColumn id="15" name="Notes For Project Brief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97b33b9ac04013" /><Relationship Type="http://schemas.openxmlformats.org/officeDocument/2006/relationships/table" Target="/xl/tables/table1.xml" Id="R45eba70da3074c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ae8b32bd8844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8.890000343322754" hidden="0" customWidth="1"/>
    <x:col min="3" max="3" width="9.4399995803833" hidden="0" customWidth="1"/>
    <x:col min="4" max="4" width="35.560001373291016" hidden="0" customWidth="1"/>
    <x:col min="5" max="5" width="36.66999816894531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</x:cols>
  <x:sheetData>
    <x:row r="1">
      <x:c r="A1" s="29" t="str">
        <x:v>Customer Onboarding Refresh - Feedback Summary</x:v>
      </x:c>
      <x:c r="B1" s="29"/>
      <x:c r="C1" s="29"/>
      <x:c r="D1" s="29"/>
      <x:c r="E1" s="29"/>
      <x:c r="F1" s="29"/>
    </x:row>
    <x:row r="2">
      <x:c r="A2" s="33" t="str">
        <x:v>Sample data only. Do not treat these customers, companies, or comments as real.</x:v>
      </x:c>
      <x:c r="B2" s="33"/>
      <x:c r="C2" s="33"/>
      <x:c r="D2" s="33"/>
      <x:c r="E2" s="33"/>
      <x:c r="F2" s="33"/>
    </x:row>
    <x:row r="3">
      <x:c r="A3" s="44" t="str">
        <x:v>Metric</x:v>
      </x:c>
      <x:c r="B3" s="45" t="str">
        <x:v>Value</x:v>
      </x:c>
    </x:row>
    <x:row r="4">
      <x:c r="A4" s="46" t="str">
        <x:v>Total responses</x:v>
      </x:c>
      <x:c r="B4" s="47" t="n">
        <x:f>COUNTA('Customer Feedback'!A3:A22)</x:f>
        <x:v>20</x:v>
      </x:c>
    </x:row>
    <x:row r="5">
      <x:c r="A5" s="46" t="str">
        <x:v>Average rating</x:v>
      </x:c>
      <x:c r="B5" s="48" t="n">
        <x:f>AVERAGE('Customer Feedback'!F3:F22)</x:f>
        <x:v>3.35</x:v>
      </x:c>
    </x:row>
    <x:row r="6">
      <x:c r="A6" s="46" t="str">
        <x:v>Average days to first value</x:v>
      </x:c>
      <x:c r="B6" s="48" t="n">
        <x:f>AVERAGE('Customer Feedback'!G3:G22)</x:f>
        <x:v>14.2</x:v>
      </x:c>
    </x:row>
    <x:row r="7">
      <x:c r="A7" s="46" t="str">
        <x:v>High-severity responses</x:v>
      </x:c>
      <x:c r="B7" s="47" t="n">
        <x:f>COUNTIF('Customer Feedback'!M3:M22,"High")</x:f>
        <x:v>9</x:v>
      </x:c>
    </x:row>
    <x:row r="8">
      <x:c r="A8" s="49" t="str">
        <x:v>Setup completion rate</x:v>
      </x:c>
      <x:c r="B8" s="50" t="n">
        <x:f>COUNTIF('Customer Feedback'!H3:H22,"Complete")/COUNTA('Customer Feedback'!H3:H22)</x:f>
        <x:v>0.45</x:v>
      </x:c>
    </x:row>
    <x:row r="10">
      <x:c r="A10" s="51" t="str">
        <x:v>Theme</x:v>
      </x:c>
      <x:c r="B10" s="52" t="str">
        <x:v>Mentions</x:v>
      </x:c>
      <x:c r="C10" s="52" t="str">
        <x:v>Avg Rating</x:v>
      </x:c>
      <x:c r="D10" s="52" t="str">
        <x:v>Representative Evidence</x:v>
      </x:c>
      <x:c r="E10" s="53" t="str">
        <x:v>Brief Implication</x:v>
      </x:c>
    </x:row>
    <x:row r="11" ht="46.5" customHeight="1">
      <x:c r="A11" s="17" t="str">
        <x:v>Checklist / next step</x:v>
      </x:c>
      <x:c r="B11" s="19" t="n">
        <x:f>SUM(IF(ISNUMBER(SEARCH("Checklist",'Customer Feedback'!$L$3)),1,0),IF(ISNUMBER(SEARCH("Checklist",'Customer Feedback'!$L$4)),1,0),IF(ISNUMBER(SEARCH("Checklist",'Customer Feedback'!$L$5)),1,0),IF(ISNUMBER(SEARCH("Checklist",'Customer Feedback'!$L$6)),1,0),IF(ISNUMBER(SEARCH("Checklist",'Customer Feedback'!$L$7)),1,0),IF(ISNUMBER(SEARCH("Checklist",'Customer Feedback'!$L$8)),1,0),IF(ISNUMBER(SEARCH("Checklist",'Customer Feedback'!$L$9)),1,0),IF(ISNUMBER(SEARCH("Checklist",'Customer Feedback'!$L$10)),1,0),IF(ISNUMBER(SEARCH("Checklist",'Customer Feedback'!$L$11)),1,0),IF(ISNUMBER(SEARCH("Checklist",'Customer Feedback'!$L$12)),1,0),IF(ISNUMBER(SEARCH("Checklist",'Customer Feedback'!$L$13)),1,0),IF(ISNUMBER(SEARCH("Checklist",'Customer Feedback'!$L$14)),1,0),IF(ISNUMBER(SEARCH("Checklist",'Customer Feedback'!$L$15)),1,0),IF(ISNUMBER(SEARCH("Checklist",'Customer Feedback'!$L$16)),1,0),IF(ISNUMBER(SEARCH("Checklist",'Customer Feedback'!$L$17)),1,0),IF(ISNUMBER(SEARCH("Checklist",'Customer Feedback'!$L$18)),1,0),IF(ISNUMBER(SEARCH("Checklist",'Customer Feedback'!$L$19)),1,0),IF(ISNUMBER(SEARCH("Checklist",'Customer Feedback'!$L$20)),1,0),IF(ISNUMBER(SEARCH("Checklist",'Customer Feedback'!$L$21)),1,0),IF(ISNUMBER(SEARCH("Checklist",'Customer Feedback'!$L$22)),1,0))</x:f>
        <x:v>9</x:v>
      </x:c>
      <x:c r="C11" s="54" t="n">
        <x:f>IFERROR(SUM(IF(ISNUMBER(SEARCH("Checklist",'Customer Feedback'!$L$3)),'Customer Feedback'!$F$3,0),IF(ISNUMBER(SEARCH("Checklist",'Customer Feedback'!$L$4)),'Customer Feedback'!$F$4,0),IF(ISNUMBER(SEARCH("Checklist",'Customer Feedback'!$L$5)),'Customer Feedback'!$F$5,0),IF(ISNUMBER(SEARCH("Checklist",'Customer Feedback'!$L$6)),'Customer Feedback'!$F$6,0),IF(ISNUMBER(SEARCH("Checklist",'Customer Feedback'!$L$7)),'Customer Feedback'!$F$7,0),IF(ISNUMBER(SEARCH("Checklist",'Customer Feedback'!$L$8)),'Customer Feedback'!$F$8,0),IF(ISNUMBER(SEARCH("Checklist",'Customer Feedback'!$L$9)),'Customer Feedback'!$F$9,0),IF(ISNUMBER(SEARCH("Checklist",'Customer Feedback'!$L$10)),'Customer Feedback'!$F$10,0),IF(ISNUMBER(SEARCH("Checklist",'Customer Feedback'!$L$11)),'Customer Feedback'!$F$11,0),IF(ISNUMBER(SEARCH("Checklist",'Customer Feedback'!$L$12)),'Customer Feedback'!$F$12,0),IF(ISNUMBER(SEARCH("Checklist",'Customer Feedback'!$L$13)),'Customer Feedback'!$F$13,0),IF(ISNUMBER(SEARCH("Checklist",'Customer Feedback'!$L$14)),'Customer Feedback'!$F$14,0),IF(ISNUMBER(SEARCH("Checklist",'Customer Feedback'!$L$15)),'Customer Feedback'!$F$15,0),IF(ISNUMBER(SEARCH("Checklist",'Customer Feedback'!$L$16)),'Customer Feedback'!$F$16,0),IF(ISNUMBER(SEARCH("Checklist",'Customer Feedback'!$L$17)),'Customer Feedback'!$F$17,0),IF(ISNUMBER(SEARCH("Checklist",'Customer Feedback'!$L$18)),'Customer Feedback'!$F$18,0),IF(ISNUMBER(SEARCH("Checklist",'Customer Feedback'!$L$19)),'Customer Feedback'!$F$19,0),IF(ISNUMBER(SEARCH("Checklist",'Customer Feedback'!$L$20)),'Customer Feedback'!$F$20,0),IF(ISNUMBER(SEARCH("Checklist",'Customer Feedback'!$L$21)),'Customer Feedback'!$F$21,0),IF(ISNUMBER(SEARCH("Checklist",'Customer Feedback'!$L$22)),'Customer Feedback'!$F$22,0))/B11,"")</x:f>
        <x:v>3.888888888888889</x:v>
      </x:c>
      <x:c r="D11" s="20" t="str">
        <x:v>After the call I still did not know the next step or who on our side should do it.</x:v>
      </x:c>
      <x:c r="E11" s="21" t="str">
        <x:v>Include a first-week checklist and visible next best action.</x:v>
      </x:c>
    </x:row>
    <x:row r="12" ht="46.5" customHeight="1">
      <x:c r="A12" s="17" t="str">
        <x:v>Data import</x:v>
      </x:c>
      <x:c r="B12" s="19" t="n">
        <x:f>SUM(IF(ISNUMBER(SEARCH("Data import",'Customer Feedback'!$L$3)),1,0),IF(ISNUMBER(SEARCH("Data import",'Customer Feedback'!$L$4)),1,0),IF(ISNUMBER(SEARCH("Data import",'Customer Feedback'!$L$5)),1,0),IF(ISNUMBER(SEARCH("Data import",'Customer Feedback'!$L$6)),1,0),IF(ISNUMBER(SEARCH("Data import",'Customer Feedback'!$L$7)),1,0),IF(ISNUMBER(SEARCH("Data import",'Customer Feedback'!$L$8)),1,0),IF(ISNUMBER(SEARCH("Data import",'Customer Feedback'!$L$9)),1,0),IF(ISNUMBER(SEARCH("Data import",'Customer Feedback'!$L$10)),1,0),IF(ISNUMBER(SEARCH("Data import",'Customer Feedback'!$L$11)),1,0),IF(ISNUMBER(SEARCH("Data import",'Customer Feedback'!$L$12)),1,0),IF(ISNUMBER(SEARCH("Data import",'Customer Feedback'!$L$13)),1,0),IF(ISNUMBER(SEARCH("Data import",'Customer Feedback'!$L$14)),1,0),IF(ISNUMBER(SEARCH("Data import",'Customer Feedback'!$L$15)),1,0),IF(ISNUMBER(SEARCH("Data import",'Customer Feedback'!$L$16)),1,0),IF(ISNUMBER(SEARCH("Data import",'Customer Feedback'!$L$17)),1,0),IF(ISNUMBER(SEARCH("Data import",'Customer Feedback'!$L$18)),1,0),IF(ISNUMBER(SEARCH("Data import",'Customer Feedback'!$L$19)),1,0),IF(ISNUMBER(SEARCH("Data import",'Customer Feedback'!$L$20)),1,0),IF(ISNUMBER(SEARCH("Data import",'Customer Feedback'!$L$21)),1,0),IF(ISNUMBER(SEARCH("Data import",'Customer Feedback'!$L$22)),1,0))</x:f>
        <x:v>2</x:v>
      </x:c>
      <x:c r="C12" s="54" t="n">
        <x:f>IFERROR(SUM(IF(ISNUMBER(SEARCH("Data import",'Customer Feedback'!$L$3)),'Customer Feedback'!$F$3,0),IF(ISNUMBER(SEARCH("Data import",'Customer Feedback'!$L$4)),'Customer Feedback'!$F$4,0),IF(ISNUMBER(SEARCH("Data import",'Customer Feedback'!$L$5)),'Customer Feedback'!$F$5,0),IF(ISNUMBER(SEARCH("Data import",'Customer Feedback'!$L$6)),'Customer Feedback'!$F$6,0),IF(ISNUMBER(SEARCH("Data import",'Customer Feedback'!$L$7)),'Customer Feedback'!$F$7,0),IF(ISNUMBER(SEARCH("Data import",'Customer Feedback'!$L$8)),'Customer Feedback'!$F$8,0),IF(ISNUMBER(SEARCH("Data import",'Customer Feedback'!$L$9)),'Customer Feedback'!$F$9,0),IF(ISNUMBER(SEARCH("Data import",'Customer Feedback'!$L$10)),'Customer Feedback'!$F$10,0),IF(ISNUMBER(SEARCH("Data import",'Customer Feedback'!$L$11)),'Customer Feedback'!$F$11,0),IF(ISNUMBER(SEARCH("Data import",'Customer Feedback'!$L$12)),'Customer Feedback'!$F$12,0),IF(ISNUMBER(SEARCH("Data import",'Customer Feedback'!$L$13)),'Customer Feedback'!$F$13,0),IF(ISNUMBER(SEARCH("Data import",'Customer Feedback'!$L$14)),'Customer Feedback'!$F$14,0),IF(ISNUMBER(SEARCH("Data import",'Customer Feedback'!$L$15)),'Customer Feedback'!$F$15,0),IF(ISNUMBER(SEARCH("Data import",'Customer Feedback'!$L$16)),'Customer Feedback'!$F$16,0),IF(ISNUMBER(SEARCH("Data import",'Customer Feedback'!$L$17)),'Customer Feedback'!$F$17,0),IF(ISNUMBER(SEARCH("Data import",'Customer Feedback'!$L$18)),'Customer Feedback'!$F$18,0),IF(ISNUMBER(SEARCH("Data import",'Customer Feedback'!$L$19)),'Customer Feedback'!$F$19,0),IF(ISNUMBER(SEARCH("Data import",'Customer Feedback'!$L$20)),'Customer Feedback'!$F$20,0),IF(ISNUMBER(SEARCH("Data import",'Customer Feedback'!$L$21)),'Customer Feedback'!$F$21,0),IF(ISNUMBER(SEARCH("Data import",'Customer Feedback'!$L$22)),'Customer Feedback'!$F$22,0))/B12,"")</x:f>
        <x:v>3</x:v>
      </x:c>
      <x:c r="D12" s="20" t="str">
        <x:v>We spent almost a week formatting data because the import examples did not match our file.</x:v>
      </x:c>
      <x:c r="E12" s="21" t="str">
        <x:v>Prioritize import guidance and sample files.</x:v>
      </x:c>
    </x:row>
    <x:row r="13" ht="46.5" customHeight="1">
      <x:c r="A13" s="17" t="str">
        <x:v>Permissions and admin setup</x:v>
      </x:c>
      <x:c r="B13" s="19" t="n">
        <x:f>SUM(IF(ISNUMBER(SEARCH("Permissions",'Customer Feedback'!$L$3)),1,0),IF(ISNUMBER(SEARCH("Permissions",'Customer Feedback'!$L$4)),1,0),IF(ISNUMBER(SEARCH("Permissions",'Customer Feedback'!$L$5)),1,0),IF(ISNUMBER(SEARCH("Permissions",'Customer Feedback'!$L$6)),1,0),IF(ISNUMBER(SEARCH("Permissions",'Customer Feedback'!$L$7)),1,0),IF(ISNUMBER(SEARCH("Permissions",'Customer Feedback'!$L$8)),1,0),IF(ISNUMBER(SEARCH("Permissions",'Customer Feedback'!$L$9)),1,0),IF(ISNUMBER(SEARCH("Permissions",'Customer Feedback'!$L$10)),1,0),IF(ISNUMBER(SEARCH("Permissions",'Customer Feedback'!$L$11)),1,0),IF(ISNUMBER(SEARCH("Permissions",'Customer Feedback'!$L$12)),1,0),IF(ISNUMBER(SEARCH("Permissions",'Customer Feedback'!$L$13)),1,0),IF(ISNUMBER(SEARCH("Permissions",'Customer Feedback'!$L$14)),1,0),IF(ISNUMBER(SEARCH("Permissions",'Customer Feedback'!$L$15)),1,0),IF(ISNUMBER(SEARCH("Permissions",'Customer Feedback'!$L$16)),1,0),IF(ISNUMBER(SEARCH("Permissions",'Customer Feedback'!$L$17)),1,0),IF(ISNUMBER(SEARCH("Permissions",'Customer Feedback'!$L$18)),1,0),IF(ISNUMBER(SEARCH("Permissions",'Customer Feedback'!$L$19)),1,0),IF(ISNUMBER(SEARCH("Permissions",'Customer Feedback'!$L$20)),1,0),IF(ISNUMBER(SEARCH("Permissions",'Customer Feedback'!$L$21)),1,0),IF(ISNUMBER(SEARCH("Permissions",'Customer Feedback'!$L$22)),1,0))</x:f>
        <x:v>3</x:v>
      </x:c>
      <x:c r="C13" s="54" t="n">
        <x:f>IFERROR(SUM(IF(ISNUMBER(SEARCH("Permissions",'Customer Feedback'!$L$3)),'Customer Feedback'!$F$3,0),IF(ISNUMBER(SEARCH("Permissions",'Customer Feedback'!$L$4)),'Customer Feedback'!$F$4,0),IF(ISNUMBER(SEARCH("Permissions",'Customer Feedback'!$L$5)),'Customer Feedback'!$F$5,0),IF(ISNUMBER(SEARCH("Permissions",'Customer Feedback'!$L$6)),'Customer Feedback'!$F$6,0),IF(ISNUMBER(SEARCH("Permissions",'Customer Feedback'!$L$7)),'Customer Feedback'!$F$7,0),IF(ISNUMBER(SEARCH("Permissions",'Customer Feedback'!$L$8)),'Customer Feedback'!$F$8,0),IF(ISNUMBER(SEARCH("Permissions",'Customer Feedback'!$L$9)),'Customer Feedback'!$F$9,0),IF(ISNUMBER(SEARCH("Permissions",'Customer Feedback'!$L$10)),'Customer Feedback'!$F$10,0),IF(ISNUMBER(SEARCH("Permissions",'Customer Feedback'!$L$11)),'Customer Feedback'!$F$11,0),IF(ISNUMBER(SEARCH("Permissions",'Customer Feedback'!$L$12)),'Customer Feedback'!$F$12,0),IF(ISNUMBER(SEARCH("Permissions",'Customer Feedback'!$L$13)),'Customer Feedback'!$F$13,0),IF(ISNUMBER(SEARCH("Permissions",'Customer Feedback'!$L$14)),'Customer Feedback'!$F$14,0),IF(ISNUMBER(SEARCH("Permissions",'Customer Feedback'!$L$15)),'Customer Feedback'!$F$15,0),IF(ISNUMBER(SEARCH("Permissions",'Customer Feedback'!$L$16)),'Customer Feedback'!$F$16,0),IF(ISNUMBER(SEARCH("Permissions",'Customer Feedback'!$L$17)),'Customer Feedback'!$F$17,0),IF(ISNUMBER(SEARCH("Permissions",'Customer Feedback'!$L$18)),'Customer Feedback'!$F$18,0),IF(ISNUMBER(SEARCH("Permissions",'Customer Feedback'!$L$19)),'Customer Feedback'!$F$19,0),IF(ISNUMBER(SEARCH("Permissions",'Customer Feedback'!$L$20)),'Customer Feedback'!$F$20,0),IF(ISNUMBER(SEARCH("Permissions",'Customer Feedback'!$L$21)),'Customer Feedback'!$F$21,0),IF(ISNUMBER(SEARCH("Permissions",'Customer Feedback'!$L$22)),'Customer Feedback'!$F$22,0))/B13,"")</x:f>
        <x:v>3.3333333333333335</x:v>
      </x:c>
      <x:c r="D13" s="20" t="str">
        <x:v>Permissions were confusing. I could not tell which roles were safe to give to contractors.</x:v>
      </x:c>
      <x:c r="E13" s="21" t="str">
        <x:v>Create a clear admin path and plain-language permissions guidance.</x:v>
      </x:c>
    </x:row>
    <x:row r="14" ht="46.5" customHeight="1">
      <x:c r="A14" s="17" t="str">
        <x:v>Sales-to-CS handoff</x:v>
      </x:c>
      <x:c r="B14" s="19" t="n">
        <x:f>SUM(IF(ISNUMBER(SEARCH("Handoff",'Customer Feedback'!$L$3)),1,0),IF(ISNUMBER(SEARCH("Handoff",'Customer Feedback'!$L$4)),1,0),IF(ISNUMBER(SEARCH("Handoff",'Customer Feedback'!$L$5)),1,0),IF(ISNUMBER(SEARCH("Handoff",'Customer Feedback'!$L$6)),1,0),IF(ISNUMBER(SEARCH("Handoff",'Customer Feedback'!$L$7)),1,0),IF(ISNUMBER(SEARCH("Handoff",'Customer Feedback'!$L$8)),1,0),IF(ISNUMBER(SEARCH("Handoff",'Customer Feedback'!$L$9)),1,0),IF(ISNUMBER(SEARCH("Handoff",'Customer Feedback'!$L$10)),1,0),IF(ISNUMBER(SEARCH("Handoff",'Customer Feedback'!$L$11)),1,0),IF(ISNUMBER(SEARCH("Handoff",'Customer Feedback'!$L$12)),1,0),IF(ISNUMBER(SEARCH("Handoff",'Customer Feedback'!$L$13)),1,0),IF(ISNUMBER(SEARCH("Handoff",'Customer Feedback'!$L$14)),1,0),IF(ISNUMBER(SEARCH("Handoff",'Customer Feedback'!$L$15)),1,0),IF(ISNUMBER(SEARCH("Handoff",'Customer Feedback'!$L$16)),1,0),IF(ISNUMBER(SEARCH("Handoff",'Customer Feedback'!$L$17)),1,0),IF(ISNUMBER(SEARCH("Handoff",'Customer Feedback'!$L$18)),1,0),IF(ISNUMBER(SEARCH("Handoff",'Customer Feedback'!$L$19)),1,0),IF(ISNUMBER(SEARCH("Handoff",'Customer Feedback'!$L$20)),1,0),IF(ISNUMBER(SEARCH("Handoff",'Customer Feedback'!$L$21)),1,0),IF(ISNUMBER(SEARCH("Handoff",'Customer Feedback'!$L$22)),1,0))</x:f>
        <x:v>6</x:v>
      </x:c>
      <x:c r="C14" s="54" t="n">
        <x:f>IFERROR(SUM(IF(ISNUMBER(SEARCH("Handoff",'Customer Feedback'!$L$3)),'Customer Feedback'!$F$3,0),IF(ISNUMBER(SEARCH("Handoff",'Customer Feedback'!$L$4)),'Customer Feedback'!$F$4,0),IF(ISNUMBER(SEARCH("Handoff",'Customer Feedback'!$L$5)),'Customer Feedback'!$F$5,0),IF(ISNUMBER(SEARCH("Handoff",'Customer Feedback'!$L$6)),'Customer Feedback'!$F$6,0),IF(ISNUMBER(SEARCH("Handoff",'Customer Feedback'!$L$7)),'Customer Feedback'!$F$7,0),IF(ISNUMBER(SEARCH("Handoff",'Customer Feedback'!$L$8)),'Customer Feedback'!$F$8,0),IF(ISNUMBER(SEARCH("Handoff",'Customer Feedback'!$L$9)),'Customer Feedback'!$F$9,0),IF(ISNUMBER(SEARCH("Handoff",'Customer Feedback'!$L$10)),'Customer Feedback'!$F$10,0),IF(ISNUMBER(SEARCH("Handoff",'Customer Feedback'!$L$11)),'Customer Feedback'!$F$11,0),IF(ISNUMBER(SEARCH("Handoff",'Customer Feedback'!$L$12)),'Customer Feedback'!$F$12,0),IF(ISNUMBER(SEARCH("Handoff",'Customer Feedback'!$L$13)),'Customer Feedback'!$F$13,0),IF(ISNUMBER(SEARCH("Handoff",'Customer Feedback'!$L$14)),'Customer Feedback'!$F$14,0),IF(ISNUMBER(SEARCH("Handoff",'Customer Feedback'!$L$15)),'Customer Feedback'!$F$15,0),IF(ISNUMBER(SEARCH("Handoff",'Customer Feedback'!$L$16)),'Customer Feedback'!$F$16,0),IF(ISNUMBER(SEARCH("Handoff",'Customer Feedback'!$L$17)),'Customer Feedback'!$F$17,0),IF(ISNUMBER(SEARCH("Handoff",'Customer Feedback'!$L$18)),'Customer Feedback'!$F$18,0),IF(ISNUMBER(SEARCH("Handoff",'Customer Feedback'!$L$19)),'Customer Feedback'!$F$19,0),IF(ISNUMBER(SEARCH("Handoff",'Customer Feedback'!$L$20)),'Customer Feedback'!$F$20,0),IF(ISNUMBER(SEARCH("Handoff",'Customer Feedback'!$L$21)),'Customer Feedback'!$F$21,0),IF(ISNUMBER(SEARCH("Handoff",'Customer Feedback'!$L$22)),'Customer Feedback'!$F$22,0))/B14,"")</x:f>
        <x:v>3.1666666666666665</x:v>
      </x:c>
      <x:c r="D14" s="20" t="str">
        <x:v>The handoff from Sales missed two requirements we had discussed during evaluation.</x:v>
      </x:c>
      <x:c r="E14" s="21" t="str">
        <x:v>Add a standardized kickoff recap and internal handoff checkpoint.</x:v>
      </x:c>
    </x:row>
    <x:row r="15" ht="46.5" customHeight="1">
      <x:c r="A15" s="17" t="str">
        <x:v>Email clarity</x:v>
      </x:c>
      <x:c r="B15" s="19" t="n">
        <x:f>SUM(IF(ISNUMBER(SEARCH("Email",'Customer Feedback'!$L$3)),1,0),IF(ISNUMBER(SEARCH("Email",'Customer Feedback'!$L$4)),1,0),IF(ISNUMBER(SEARCH("Email",'Customer Feedback'!$L$5)),1,0),IF(ISNUMBER(SEARCH("Email",'Customer Feedback'!$L$6)),1,0),IF(ISNUMBER(SEARCH("Email",'Customer Feedback'!$L$7)),1,0),IF(ISNUMBER(SEARCH("Email",'Customer Feedback'!$L$8)),1,0),IF(ISNUMBER(SEARCH("Email",'Customer Feedback'!$L$9)),1,0),IF(ISNUMBER(SEARCH("Email",'Customer Feedback'!$L$10)),1,0),IF(ISNUMBER(SEARCH("Email",'Customer Feedback'!$L$11)),1,0),IF(ISNUMBER(SEARCH("Email",'Customer Feedback'!$L$12)),1,0),IF(ISNUMBER(SEARCH("Email",'Customer Feedback'!$L$13)),1,0),IF(ISNUMBER(SEARCH("Email",'Customer Feedback'!$L$14)),1,0),IF(ISNUMBER(SEARCH("Email",'Customer Feedback'!$L$15)),1,0),IF(ISNUMBER(SEARCH("Email",'Customer Feedback'!$L$16)),1,0),IF(ISNUMBER(SEARCH("Email",'Customer Feedback'!$L$17)),1,0),IF(ISNUMBER(SEARCH("Email",'Customer Feedback'!$L$18)),1,0),IF(ISNUMBER(SEARCH("Email",'Customer Feedback'!$L$19)),1,0),IF(ISNUMBER(SEARCH("Email",'Customer Feedback'!$L$20)),1,0),IF(ISNUMBER(SEARCH("Email",'Customer Feedback'!$L$21)),1,0),IF(ISNUMBER(SEARCH("Email",'Customer Feedback'!$L$22)),1,0))</x:f>
        <x:v>6</x:v>
      </x:c>
      <x:c r="C15" s="54" t="n">
        <x:f>IFERROR(SUM(IF(ISNUMBER(SEARCH("Email",'Customer Feedback'!$L$3)),'Customer Feedback'!$F$3,0),IF(ISNUMBER(SEARCH("Email",'Customer Feedback'!$L$4)),'Customer Feedback'!$F$4,0),IF(ISNUMBER(SEARCH("Email",'Customer Feedback'!$L$5)),'Customer Feedback'!$F$5,0),IF(ISNUMBER(SEARCH("Email",'Customer Feedback'!$L$6)),'Customer Feedback'!$F$6,0),IF(ISNUMBER(SEARCH("Email",'Customer Feedback'!$L$7)),'Customer Feedback'!$F$7,0),IF(ISNUMBER(SEARCH("Email",'Customer Feedback'!$L$8)),'Customer Feedback'!$F$8,0),IF(ISNUMBER(SEARCH("Email",'Customer Feedback'!$L$9)),'Customer Feedback'!$F$9,0),IF(ISNUMBER(SEARCH("Email",'Customer Feedback'!$L$10)),'Customer Feedback'!$F$10,0),IF(ISNUMBER(SEARCH("Email",'Customer Feedback'!$L$11)),'Customer Feedback'!$F$11,0),IF(ISNUMBER(SEARCH("Email",'Customer Feedback'!$L$12)),'Customer Feedback'!$F$12,0),IF(ISNUMBER(SEARCH("Email",'Customer Feedback'!$L$13)),'Customer Feedback'!$F$13,0),IF(ISNUMBER(SEARCH("Email",'Customer Feedback'!$L$14)),'Customer Feedback'!$F$14,0),IF(ISNUMBER(SEARCH("Email",'Customer Feedback'!$L$15)),'Customer Feedback'!$F$15,0),IF(ISNUMBER(SEARCH("Email",'Customer Feedback'!$L$16)),'Customer Feedback'!$F$16,0),IF(ISNUMBER(SEARCH("Email",'Customer Feedback'!$L$17)),'Customer Feedback'!$F$17,0),IF(ISNUMBER(SEARCH("Email",'Customer Feedback'!$L$18)),'Customer Feedback'!$F$18,0),IF(ISNUMBER(SEARCH("Email",'Customer Feedback'!$L$19)),'Customer Feedback'!$F$19,0),IF(ISNUMBER(SEARCH("Email",'Customer Feedback'!$L$20)),'Customer Feedback'!$F$20,0),IF(ISNUMBER(SEARCH("Email",'Customer Feedback'!$L$21)),'Customer Feedback'!$F$21,0),IF(ISNUMBER(SEARCH("Email",'Customer Feedback'!$L$22)),'Customer Feedback'!$F$22,0))/B15,"")</x:f>
        <x:v>2.8333333333333335</x:v>
      </x:c>
      <x:c r="D15" s="20" t="str">
        <x:v>I got a long list of links but no clear path for a small team getting started.</x:v>
      </x:c>
      <x:c r="E15" s="21" t="str">
        <x:v>Refresh welcome emails so each message points to one concrete action.</x:v>
      </x:c>
    </x:row>
    <x:row r="16" ht="46.5" customHeight="1">
      <x:c r="A16" s="17" t="str">
        <x:v>Help content</x:v>
      </x:c>
      <x:c r="B16" s="19" t="n">
        <x:f>SUM(IF(ISNUMBER(SEARCH("Help content",'Customer Feedback'!$L$3)),1,0),IF(ISNUMBER(SEARCH("Help content",'Customer Feedback'!$L$4)),1,0),IF(ISNUMBER(SEARCH("Help content",'Customer Feedback'!$L$5)),1,0),IF(ISNUMBER(SEARCH("Help content",'Customer Feedback'!$L$6)),1,0),IF(ISNUMBER(SEARCH("Help content",'Customer Feedback'!$L$7)),1,0),IF(ISNUMBER(SEARCH("Help content",'Customer Feedback'!$L$8)),1,0),IF(ISNUMBER(SEARCH("Help content",'Customer Feedback'!$L$9)),1,0),IF(ISNUMBER(SEARCH("Help content",'Customer Feedback'!$L$10)),1,0),IF(ISNUMBER(SEARCH("Help content",'Customer Feedback'!$L$11)),1,0),IF(ISNUMBER(SEARCH("Help content",'Customer Feedback'!$L$12)),1,0),IF(ISNUMBER(SEARCH("Help content",'Customer Feedback'!$L$13)),1,0),IF(ISNUMBER(SEARCH("Help content",'Customer Feedback'!$L$14)),1,0),IF(ISNUMBER(SEARCH("Help content",'Customer Feedback'!$L$15)),1,0),IF(ISNUMBER(SEARCH("Help content",'Customer Feedback'!$L$16)),1,0),IF(ISNUMBER(SEARCH("Help content",'Customer Feedback'!$L$17)),1,0),IF(ISNUMBER(SEARCH("Help content",'Customer Feedback'!$L$18)),1,0),IF(ISNUMBER(SEARCH("Help content",'Customer Feedback'!$L$19)),1,0),IF(ISNUMBER(SEARCH("Help content",'Customer Feedback'!$L$20)),1,0),IF(ISNUMBER(SEARCH("Help content",'Customer Feedback'!$L$21)),1,0),IF(ISNUMBER(SEARCH("Help content",'Customer Feedback'!$L$22)),1,0))</x:f>
        <x:v>7</x:v>
      </x:c>
      <x:c r="C16" s="54" t="n">
        <x:f>IFERROR(SUM(IF(ISNUMBER(SEARCH("Help content",'Customer Feedback'!$L$3)),'Customer Feedback'!$F$3,0),IF(ISNUMBER(SEARCH("Help content",'Customer Feedback'!$L$4)),'Customer Feedback'!$F$4,0),IF(ISNUMBER(SEARCH("Help content",'Customer Feedback'!$L$5)),'Customer Feedback'!$F$5,0),IF(ISNUMBER(SEARCH("Help content",'Customer Feedback'!$L$6)),'Customer Feedback'!$F$6,0),IF(ISNUMBER(SEARCH("Help content",'Customer Feedback'!$L$7)),'Customer Feedback'!$F$7,0),IF(ISNUMBER(SEARCH("Help content",'Customer Feedback'!$L$8)),'Customer Feedback'!$F$8,0),IF(ISNUMBER(SEARCH("Help content",'Customer Feedback'!$L$9)),'Customer Feedback'!$F$9,0),IF(ISNUMBER(SEARCH("Help content",'Customer Feedback'!$L$10)),'Customer Feedback'!$F$10,0),IF(ISNUMBER(SEARCH("Help content",'Customer Feedback'!$L$11)),'Customer Feedback'!$F$11,0),IF(ISNUMBER(SEARCH("Help content",'Customer Feedback'!$L$12)),'Customer Feedback'!$F$12,0),IF(ISNUMBER(SEARCH("Help content",'Customer Feedback'!$L$13)),'Customer Feedback'!$F$13,0),IF(ISNUMBER(SEARCH("Help content",'Customer Feedback'!$L$14)),'Customer Feedback'!$F$14,0),IF(ISNUMBER(SEARCH("Help content",'Customer Feedback'!$L$15)),'Customer Feedback'!$F$15,0),IF(ISNUMBER(SEARCH("Help content",'Customer Feedback'!$L$16)),'Customer Feedback'!$F$16,0),IF(ISNUMBER(SEARCH("Help content",'Customer Feedback'!$L$17)),'Customer Feedback'!$F$17,0),IF(ISNUMBER(SEARCH("Help content",'Customer Feedback'!$L$18)),'Customer Feedback'!$F$18,0),IF(ISNUMBER(SEARCH("Help content",'Customer Feedback'!$L$19)),'Customer Feedback'!$F$19,0),IF(ISNUMBER(SEARCH("Help content",'Customer Feedback'!$L$20)),'Customer Feedback'!$F$20,0),IF(ISNUMBER(SEARCH("Help content",'Customer Feedback'!$L$21)),'Customer Feedback'!$F$21,0),IF(ISNUMBER(SEARCH("Help content",'Customer Feedback'!$L$22)),'Customer Feedback'!$F$22,0))/B16,"")</x:f>
        <x:v>3.2857142857142856</x:v>
      </x:c>
      <x:c r="D16" s="20" t="str">
        <x:v>The import instructions were buried in a help article I only found after opening a ticket.</x:v>
      </x:c>
      <x:c r="E16" s="21" t="str">
        <x:v>Update must-have help articles before pilot launch.</x:v>
      </x:c>
    </x:row>
    <x:row r="17" ht="46.5" customHeight="1">
      <x:c r="A17" s="17" t="str">
        <x:v>Role-based guidance</x:v>
      </x:c>
      <x:c r="B17" s="19" t="n">
        <x:f>SUM(IF(ISNUMBER(SEARCH("Role-based guidance",'Customer Feedback'!$L$3)),1,0),IF(ISNUMBER(SEARCH("Role-based guidance",'Customer Feedback'!$L$4)),1,0),IF(ISNUMBER(SEARCH("Role-based guidance",'Customer Feedback'!$L$5)),1,0),IF(ISNUMBER(SEARCH("Role-based guidance",'Customer Feedback'!$L$6)),1,0),IF(ISNUMBER(SEARCH("Role-based guidance",'Customer Feedback'!$L$7)),1,0),IF(ISNUMBER(SEARCH("Role-based guidance",'Customer Feedback'!$L$8)),1,0),IF(ISNUMBER(SEARCH("Role-based guidance",'Customer Feedback'!$L$9)),1,0),IF(ISNUMBER(SEARCH("Role-based guidance",'Customer Feedback'!$L$10)),1,0),IF(ISNUMBER(SEARCH("Role-based guidance",'Customer Feedback'!$L$11)),1,0),IF(ISNUMBER(SEARCH("Role-based guidance",'Customer Feedback'!$L$12)),1,0),IF(ISNUMBER(SEARCH("Role-based guidance",'Customer Feedback'!$L$13)),1,0),IF(ISNUMBER(SEARCH("Role-based guidance",'Customer Feedback'!$L$14)),1,0),IF(ISNUMBER(SEARCH("Role-based guidance",'Customer Feedback'!$L$15)),1,0),IF(ISNUMBER(SEARCH("Role-based guidance",'Customer Feedback'!$L$16)),1,0),IF(ISNUMBER(SEARCH("Role-based guidance",'Customer Feedback'!$L$17)),1,0),IF(ISNUMBER(SEARCH("Role-based guidance",'Customer Feedback'!$L$18)),1,0),IF(ISNUMBER(SEARCH("Role-based guidance",'Customer Feedback'!$L$19)),1,0),IF(ISNUMBER(SEARCH("Role-based guidance",'Customer Feedback'!$L$20)),1,0),IF(ISNUMBER(SEARCH("Role-based guidance",'Customer Feedback'!$L$21)),1,0),IF(ISNUMBER(SEARCH("Role-based guidance",'Customer Feedback'!$L$22)),1,0))</x:f>
        <x:v>4</x:v>
      </x:c>
      <x:c r="C17" s="54" t="n">
        <x:f>IFERROR(SUM(IF(ISNUMBER(SEARCH("Role-based guidance",'Customer Feedback'!$L$3)),'Customer Feedback'!$F$3,0),IF(ISNUMBER(SEARCH("Role-based guidance",'Customer Feedback'!$L$4)),'Customer Feedback'!$F$4,0),IF(ISNUMBER(SEARCH("Role-based guidance",'Customer Feedback'!$L$5)),'Customer Feedback'!$F$5,0),IF(ISNUMBER(SEARCH("Role-based guidance",'Customer Feedback'!$L$6)),'Customer Feedback'!$F$6,0),IF(ISNUMBER(SEARCH("Role-based guidance",'Customer Feedback'!$L$7)),'Customer Feedback'!$F$7,0),IF(ISNUMBER(SEARCH("Role-based guidance",'Customer Feedback'!$L$8)),'Customer Feedback'!$F$8,0),IF(ISNUMBER(SEARCH("Role-based guidance",'Customer Feedback'!$L$9)),'Customer Feedback'!$F$9,0),IF(ISNUMBER(SEARCH("Role-based guidance",'Customer Feedback'!$L$10)),'Customer Feedback'!$F$10,0),IF(ISNUMBER(SEARCH("Role-based guidance",'Customer Feedback'!$L$11)),'Customer Feedback'!$F$11,0),IF(ISNUMBER(SEARCH("Role-based guidance",'Customer Feedback'!$L$12)),'Customer Feedback'!$F$12,0),IF(ISNUMBER(SEARCH("Role-based guidance",'Customer Feedback'!$L$13)),'Customer Feedback'!$F$13,0),IF(ISNUMBER(SEARCH("Role-based guidance",'Customer Feedback'!$L$14)),'Customer Feedback'!$F$14,0),IF(ISNUMBER(SEARCH("Role-based guidance",'Customer Feedback'!$L$15)),'Customer Feedback'!$F$15,0),IF(ISNUMBER(SEARCH("Role-based guidance",'Customer Feedback'!$L$16)),'Customer Feedback'!$F$16,0),IF(ISNUMBER(SEARCH("Role-based guidance",'Customer Feedback'!$L$17)),'Customer Feedback'!$F$17,0),IF(ISNUMBER(SEARCH("Role-based guidance",'Customer Feedback'!$L$18)),'Customer Feedback'!$F$18,0),IF(ISNUMBER(SEARCH("Role-based guidance",'Customer Feedback'!$L$19)),'Customer Feedback'!$F$19,0),IF(ISNUMBER(SEARCH("Role-based guidance",'Customer Feedback'!$L$20)),'Customer Feedback'!$F$20,0),IF(ISNUMBER(SEARCH("Role-based guidance",'Customer Feedback'!$L$21)),'Customer Feedback'!$F$21,0),IF(ISNUMBER(SEARCH("Role-based guidance",'Customer Feedback'!$L$22)),'Customer Feedback'!$F$22,0))/B17,"")</x:f>
        <x:v>3.75</x:v>
      </x:c>
      <x:c r="D17" s="20" t="str">
        <x:v>Create separate admin and teammate guidance.</x:v>
      </x:c>
      <x:c r="E17" s="21" t="str">
        <x:v>Start with admin and champion paths, not many personas.</x:v>
      </x:c>
    </x:row>
    <x:row r="18" ht="46.5" customHeight="1">
      <x:c r="A18" s="17" t="str">
        <x:v>Support expectations</x:v>
      </x:c>
      <x:c r="B18" s="19" t="n">
        <x:f>SUM(IF(ISNUMBER(SEARCH("Support expectations",'Customer Feedback'!$L$3)),1,0),IF(ISNUMBER(SEARCH("Support expectations",'Customer Feedback'!$L$4)),1,0),IF(ISNUMBER(SEARCH("Support expectations",'Customer Feedback'!$L$5)),1,0),IF(ISNUMBER(SEARCH("Support expectations",'Customer Feedback'!$L$6)),1,0),IF(ISNUMBER(SEARCH("Support expectations",'Customer Feedback'!$L$7)),1,0),IF(ISNUMBER(SEARCH("Support expectations",'Customer Feedback'!$L$8)),1,0),IF(ISNUMBER(SEARCH("Support expectations",'Customer Feedback'!$L$9)),1,0),IF(ISNUMBER(SEARCH("Support expectations",'Customer Feedback'!$L$10)),1,0),IF(ISNUMBER(SEARCH("Support expectations",'Customer Feedback'!$L$11)),1,0),IF(ISNUMBER(SEARCH("Support expectations",'Customer Feedback'!$L$12)),1,0),IF(ISNUMBER(SEARCH("Support expectations",'Customer Feedback'!$L$13)),1,0),IF(ISNUMBER(SEARCH("Support expectations",'Customer Feedback'!$L$14)),1,0),IF(ISNUMBER(SEARCH("Support expectations",'Customer Feedback'!$L$15)),1,0),IF(ISNUMBER(SEARCH("Support expectations",'Customer Feedback'!$L$16)),1,0),IF(ISNUMBER(SEARCH("Support expectations",'Customer Feedback'!$L$17)),1,0),IF(ISNUMBER(SEARCH("Support expectations",'Customer Feedback'!$L$18)),1,0),IF(ISNUMBER(SEARCH("Support expectations",'Customer Feedback'!$L$19)),1,0),IF(ISNUMBER(SEARCH("Support expectations",'Customer Feedback'!$L$20)),1,0),IF(ISNUMBER(SEARCH("Support expectations",'Customer Feedback'!$L$21)),1,0),IF(ISNUMBER(SEARCH("Support expectations",'Customer Feedback'!$L$22)),1,0))</x:f>
        <x:v>4</x:v>
      </x:c>
      <x:c r="C18" s="54" t="n">
        <x:f>IFERROR(SUM(IF(ISNUMBER(SEARCH("Support expectations",'Customer Feedback'!$L$3)),'Customer Feedback'!$F$3,0),IF(ISNUMBER(SEARCH("Support expectations",'Customer Feedback'!$L$4)),'Customer Feedback'!$F$4,0),IF(ISNUMBER(SEARCH("Support expectations",'Customer Feedback'!$L$5)),'Customer Feedback'!$F$5,0),IF(ISNUMBER(SEARCH("Support expectations",'Customer Feedback'!$L$6)),'Customer Feedback'!$F$6,0),IF(ISNUMBER(SEARCH("Support expectations",'Customer Feedback'!$L$7)),'Customer Feedback'!$F$7,0),IF(ISNUMBER(SEARCH("Support expectations",'Customer Feedback'!$L$8)),'Customer Feedback'!$F$8,0),IF(ISNUMBER(SEARCH("Support expectations",'Customer Feedback'!$L$9)),'Customer Feedback'!$F$9,0),IF(ISNUMBER(SEARCH("Support expectations",'Customer Feedback'!$L$10)),'Customer Feedback'!$F$10,0),IF(ISNUMBER(SEARCH("Support expectations",'Customer Feedback'!$L$11)),'Customer Feedback'!$F$11,0),IF(ISNUMBER(SEARCH("Support expectations",'Customer Feedback'!$L$12)),'Customer Feedback'!$F$12,0),IF(ISNUMBER(SEARCH("Support expectations",'Customer Feedback'!$L$13)),'Customer Feedback'!$F$13,0),IF(ISNUMBER(SEARCH("Support expectations",'Customer Feedback'!$L$14)),'Customer Feedback'!$F$14,0),IF(ISNUMBER(SEARCH("Support expectations",'Customer Feedback'!$L$15)),'Customer Feedback'!$F$15,0),IF(ISNUMBER(SEARCH("Support expectations",'Customer Feedback'!$L$16)),'Customer Feedback'!$F$16,0),IF(ISNUMBER(SEARCH("Support expectations",'Customer Feedback'!$L$17)),'Customer Feedback'!$F$17,0),IF(ISNUMBER(SEARCH("Support expectations",'Customer Feedback'!$L$18)),'Customer Feedback'!$F$18,0),IF(ISNUMBER(SEARCH("Support expectations",'Customer Feedback'!$L$19)),'Customer Feedback'!$F$19,0),IF(ISNUMBER(SEARCH("Support expectations",'Customer Feedback'!$L$20)),'Customer Feedback'!$F$20,0),IF(ISNUMBER(SEARCH("Support expectations",'Customer Feedback'!$L$21)),'Customer Feedback'!$F$21,0),IF(ISNUMBER(SEARCH("Support expectations",'Customer Feedback'!$L$22)),'Customer Feedback'!$F$22,0))/B18,"")</x:f>
        <x:v>2.25</x:v>
      </x:c>
      <x:c r="D18" s="20" t="str">
        <x:v>Sales said onboarding would feel hands-on, but after signup we mostly received automated emails.</x:v>
      </x:c>
      <x:c r="E18" s="21" t="str">
        <x:v>Avoid concierge promises unless the support model is staffed.</x:v>
      </x:c>
    </x:row>
    <x:row r="19" ht="46.5" customHeight="1">
      <x:c r="A19" s="17" t="str">
        <x:v>Progress visibility</x:v>
      </x:c>
      <x:c r="B19" s="19" t="n">
        <x:f>SUM(IF(ISNUMBER(SEARCH("Progress visibility",'Customer Feedback'!$L$3)),1,0),IF(ISNUMBER(SEARCH("Progress visibility",'Customer Feedback'!$L$4)),1,0),IF(ISNUMBER(SEARCH("Progress visibility",'Customer Feedback'!$L$5)),1,0),IF(ISNUMBER(SEARCH("Progress visibility",'Customer Feedback'!$L$6)),1,0),IF(ISNUMBER(SEARCH("Progress visibility",'Customer Feedback'!$L$7)),1,0),IF(ISNUMBER(SEARCH("Progress visibility",'Customer Feedback'!$L$8)),1,0),IF(ISNUMBER(SEARCH("Progress visibility",'Customer Feedback'!$L$9)),1,0),IF(ISNUMBER(SEARCH("Progress visibility",'Customer Feedback'!$L$10)),1,0),IF(ISNUMBER(SEARCH("Progress visibility",'Customer Feedback'!$L$11)),1,0),IF(ISNUMBER(SEARCH("Progress visibility",'Customer Feedback'!$L$12)),1,0),IF(ISNUMBER(SEARCH("Progress visibility",'Customer Feedback'!$L$13)),1,0),IF(ISNUMBER(SEARCH("Progress visibility",'Customer Feedback'!$L$14)),1,0),IF(ISNUMBER(SEARCH("Progress visibility",'Customer Feedback'!$L$15)),1,0),IF(ISNUMBER(SEARCH("Progress visibility",'Customer Feedback'!$L$16)),1,0),IF(ISNUMBER(SEARCH("Progress visibility",'Customer Feedback'!$L$17)),1,0),IF(ISNUMBER(SEARCH("Progress visibility",'Customer Feedback'!$L$18)),1,0),IF(ISNUMBER(SEARCH("Progress visibility",'Customer Feedback'!$L$19)),1,0),IF(ISNUMBER(SEARCH("Progress visibility",'Customer Feedback'!$L$20)),1,0),IF(ISNUMBER(SEARCH("Progress visibility",'Customer Feedback'!$L$21)),1,0),IF(ISNUMBER(SEARCH("Progress visibility",'Customer Feedback'!$L$22)),1,0))</x:f>
        <x:v>5</x:v>
      </x:c>
      <x:c r="C19" s="54" t="n">
        <x:f>IFERROR(SUM(IF(ISNUMBER(SEARCH("Progress visibility",'Customer Feedback'!$L$3)),'Customer Feedback'!$F$3,0),IF(ISNUMBER(SEARCH("Progress visibility",'Customer Feedback'!$L$4)),'Customer Feedback'!$F$4,0),IF(ISNUMBER(SEARCH("Progress visibility",'Customer Feedback'!$L$5)),'Customer Feedback'!$F$5,0),IF(ISNUMBER(SEARCH("Progress visibility",'Customer Feedback'!$L$6)),'Customer Feedback'!$F$6,0),IF(ISNUMBER(SEARCH("Progress visibility",'Customer Feedback'!$L$7)),'Customer Feedback'!$F$7,0),IF(ISNUMBER(SEARCH("Progress visibility",'Customer Feedback'!$L$8)),'Customer Feedback'!$F$8,0),IF(ISNUMBER(SEARCH("Progress visibility",'Customer Feedback'!$L$9)),'Customer Feedback'!$F$9,0),IF(ISNUMBER(SEARCH("Progress visibility",'Customer Feedback'!$L$10)),'Customer Feedback'!$F$10,0),IF(ISNUMBER(SEARCH("Progress visibility",'Customer Feedback'!$L$11)),'Customer Feedback'!$F$11,0),IF(ISNUMBER(SEARCH("Progress visibility",'Customer Feedback'!$L$12)),'Customer Feedback'!$F$12,0),IF(ISNUMBER(SEARCH("Progress visibility",'Customer Feedback'!$L$13)),'Customer Feedback'!$F$13,0),IF(ISNUMBER(SEARCH("Progress visibility",'Customer Feedback'!$L$14)),'Customer Feedback'!$F$14,0),IF(ISNUMBER(SEARCH("Progress visibility",'Customer Feedback'!$L$15)),'Customer Feedback'!$F$15,0),IF(ISNUMBER(SEARCH("Progress visibility",'Customer Feedback'!$L$16)),'Customer Feedback'!$F$16,0),IF(ISNUMBER(SEARCH("Progress visibility",'Customer Feedback'!$L$17)),'Customer Feedback'!$F$17,0),IF(ISNUMBER(SEARCH("Progress visibility",'Customer Feedback'!$L$18)),'Customer Feedback'!$F$18,0),IF(ISNUMBER(SEARCH("Progress visibility",'Customer Feedback'!$L$19)),'Customer Feedback'!$F$19,0),IF(ISNUMBER(SEARCH("Progress visibility",'Customer Feedback'!$L$20)),'Customer Feedback'!$F$20,0),IF(ISNUMBER(SEARCH("Progress visibility",'Customer Feedback'!$L$21)),'Customer Feedback'!$F$21,0),IF(ISNUMBER(SEARCH("Progress visibility",'Customer Feedback'!$L$22)),'Customer Feedback'!$F$22,0))/B19,"")</x:f>
        <x:v>4.2</x:v>
      </x:c>
      <x:c r="D19" s="20" t="str">
        <x:v>I wish the product remembered which steps we had already finished.</x:v>
      </x:c>
      <x:c r="E19" s="21" t="str">
        <x:v>Show setup progress without building a full CSM dashboard in phase one.</x:v>
      </x:c>
    </x:row>
    <x:row r="20" ht="46.5" customHeight="1">
      <x:c r="A20" s="22" t="str">
        <x:v>Integrations</x:v>
      </x:c>
      <x:c r="B20" s="24" t="n">
        <x:f>SUM(IF(ISNUMBER(SEARCH("Integrations",'Customer Feedback'!$L$3)),1,0),IF(ISNUMBER(SEARCH("Integrations",'Customer Feedback'!$L$4)),1,0),IF(ISNUMBER(SEARCH("Integrations",'Customer Feedback'!$L$5)),1,0),IF(ISNUMBER(SEARCH("Integrations",'Customer Feedback'!$L$6)),1,0),IF(ISNUMBER(SEARCH("Integrations",'Customer Feedback'!$L$7)),1,0),IF(ISNUMBER(SEARCH("Integrations",'Customer Feedback'!$L$8)),1,0),IF(ISNUMBER(SEARCH("Integrations",'Customer Feedback'!$L$9)),1,0),IF(ISNUMBER(SEARCH("Integrations",'Customer Feedback'!$L$10)),1,0),IF(ISNUMBER(SEARCH("Integrations",'Customer Feedback'!$L$11)),1,0),IF(ISNUMBER(SEARCH("Integrations",'Customer Feedback'!$L$12)),1,0),IF(ISNUMBER(SEARCH("Integrations",'Customer Feedback'!$L$13)),1,0),IF(ISNUMBER(SEARCH("Integrations",'Customer Feedback'!$L$14)),1,0),IF(ISNUMBER(SEARCH("Integrations",'Customer Feedback'!$L$15)),1,0),IF(ISNUMBER(SEARCH("Integrations",'Customer Feedback'!$L$16)),1,0),IF(ISNUMBER(SEARCH("Integrations",'Customer Feedback'!$L$17)),1,0),IF(ISNUMBER(SEARCH("Integrations",'Customer Feedback'!$L$18)),1,0),IF(ISNUMBER(SEARCH("Integrations",'Customer Feedback'!$L$19)),1,0),IF(ISNUMBER(SEARCH("Integrations",'Customer Feedback'!$L$20)),1,0),IF(ISNUMBER(SEARCH("Integrations",'Customer Feedback'!$L$21)),1,0),IF(ISNUMBER(SEARCH("Integrations",'Customer Feedback'!$L$22)),1,0))</x:f>
        <x:v>2</x:v>
      </x:c>
      <x:c r="C20" s="55" t="n">
        <x:f>IFERROR(SUM(IF(ISNUMBER(SEARCH("Integrations",'Customer Feedback'!$L$3)),'Customer Feedback'!$F$3,0),IF(ISNUMBER(SEARCH("Integrations",'Customer Feedback'!$L$4)),'Customer Feedback'!$F$4,0),IF(ISNUMBER(SEARCH("Integrations",'Customer Feedback'!$L$5)),'Customer Feedback'!$F$5,0),IF(ISNUMBER(SEARCH("Integrations",'Customer Feedback'!$L$6)),'Customer Feedback'!$F$6,0),IF(ISNUMBER(SEARCH("Integrations",'Customer Feedback'!$L$7)),'Customer Feedback'!$F$7,0),IF(ISNUMBER(SEARCH("Integrations",'Customer Feedback'!$L$8)),'Customer Feedback'!$F$8,0),IF(ISNUMBER(SEARCH("Integrations",'Customer Feedback'!$L$9)),'Customer Feedback'!$F$9,0),IF(ISNUMBER(SEARCH("Integrations",'Customer Feedback'!$L$10)),'Customer Feedback'!$F$10,0),IF(ISNUMBER(SEARCH("Integrations",'Customer Feedback'!$L$11)),'Customer Feedback'!$F$11,0),IF(ISNUMBER(SEARCH("Integrations",'Customer Feedback'!$L$12)),'Customer Feedback'!$F$12,0),IF(ISNUMBER(SEARCH("Integrations",'Customer Feedback'!$L$13)),'Customer Feedback'!$F$13,0),IF(ISNUMBER(SEARCH("Integrations",'Customer Feedback'!$L$14)),'Customer Feedback'!$F$14,0),IF(ISNUMBER(SEARCH("Integrations",'Customer Feedback'!$L$15)),'Customer Feedback'!$F$15,0),IF(ISNUMBER(SEARCH("Integrations",'Customer Feedback'!$L$16)),'Customer Feedback'!$F$16,0),IF(ISNUMBER(SEARCH("Integrations",'Customer Feedback'!$L$17)),'Customer Feedback'!$F$17,0),IF(ISNUMBER(SEARCH("Integrations",'Customer Feedback'!$L$18)),'Customer Feedback'!$F$18,0),IF(ISNUMBER(SEARCH("Integrations",'Customer Feedback'!$L$19)),'Customer Feedback'!$F$19,0),IF(ISNUMBER(SEARCH("Integrations",'Customer Feedback'!$L$20)),'Customer Feedback'!$F$20,0),IF(ISNUMBER(SEARCH("Integrations",'Customer Feedback'!$L$21)),'Customer Feedback'!$F$21,0),IF(ISNUMBER(SEARCH("Integrations",'Customer Feedback'!$L$22)),'Customer Feedback'!$F$22,0))/B20,"")</x:f>
        <x:v>2.5</x:v>
      </x:c>
      <x:c r="D20" s="25" t="str">
        <x:v>Integration authentication failed and the help article was outdated.</x:v>
      </x:c>
      <x:c r="E20" s="26" t="str">
        <x:v>Treat integration docs as a launch dependency.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c797b33b9ac04013"/>
  <x:tableParts count="1">
    <x:tablePart xmlns:r="http://schemas.openxmlformats.org/officeDocument/2006/relationships" r:id="R45eba70da3074c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6.670000076293945" hidden="0" customWidth="1"/>
    <x:col min="3" max="3" width="12.220000267028809" hidden="0" customWidth="1"/>
    <x:col min="4" max="4" width="16.110000610351562" hidden="0" customWidth="1"/>
    <x:col min="5" max="5" width="12.4399995803833" hidden="0" customWidth="1"/>
    <x:col min="6" max="6" width="9.779999732971191" hidden="0" customWidth="1"/>
    <x:col min="7" max="7" width="12.4399995803833" hidden="0" customWidth="1"/>
    <x:col min="8" max="8" width="10.5600004196167" hidden="0" customWidth="1"/>
    <x:col min="9" max="9" width="32.220001220703125" hidden="0" customWidth="1"/>
    <x:col min="10" max="10" width="36.66999816894531" hidden="0" customWidth="1"/>
    <x:col min="11" max="11" width="28.889999389648438" hidden="0" customWidth="1"/>
    <x:col min="12" max="12" width="26.110000610351562" hidden="0" customWidth="1"/>
    <x:col min="13" max="13" width="8.890000343322754" hidden="0" customWidth="1"/>
    <x:col min="14" max="14" width="16.670000076293945" hidden="0" customWidth="1"/>
    <x:col min="15" max="15" width="33.33000183105469" hidden="0" customWidth="1"/>
  </x:cols>
  <x:sheetData>
    <x:row r="1">
      <x:c r="A1" s="11" t="str">
        <x:v>Sample data only. Do not treat these customers, companies, or comments as real.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3"/>
    </x:row>
    <x:row r="2">
      <x:c r="A2" s="14" t="str">
        <x:v>Feedback ID</x:v>
      </x:c>
      <x:c r="B2" s="15" t="str">
        <x:v>Customer</x:v>
      </x:c>
      <x:c r="C2" s="15" t="str">
        <x:v>Segment</x:v>
      </x:c>
      <x:c r="D2" s="15" t="str">
        <x:v>Respondent Role</x:v>
      </x:c>
      <x:c r="E2" s="15" t="str">
        <x:v>Onboarded Month</x:v>
      </x:c>
      <x:c r="F2" s="15" t="str">
        <x:v>Overall Rating</x:v>
      </x:c>
      <x:c r="G2" s="15" t="str">
        <x:v>Days To First Value</x:v>
      </x:c>
      <x:c r="H2" s="15" t="str">
        <x:v>Setup Status</x:v>
      </x:c>
      <x:c r="I2" s="15" t="str">
        <x:v>Liked - Verbatim</x:v>
      </x:c>
      <x:c r="J2" s="15" t="str">
        <x:v>Disliked Or Pain Point - Verbatim</x:v>
      </x:c>
      <x:c r="K2" s="15" t="str">
        <x:v>Requested Improvement</x:v>
      </x:c>
      <x:c r="L2" s="15" t="str">
        <x:v>Theme Tags</x:v>
      </x:c>
      <x:c r="M2" s="15" t="str">
        <x:v>Severity</x:v>
      </x:c>
      <x:c r="N2" s="15" t="str">
        <x:v>Source</x:v>
      </x:c>
      <x:c r="O2" s="16" t="str">
        <x:v>Notes For Project Brief</x:v>
      </x:c>
    </x:row>
    <x:row r="3" ht="54" customHeight="1">
      <x:c r="A3" s="17" t="str">
        <x:v>F-001</x:v>
      </x:c>
      <x:c r="B3" s="18" t="str">
        <x:v>Acme Analytics</x:v>
      </x:c>
      <x:c r="C3" s="18" t="str">
        <x:v>Mid-market</x:v>
      </x:c>
      <x:c r="D3" s="18" t="str">
        <x:v>RevOps Admin</x:v>
      </x:c>
      <x:c r="E3" s="18" t="str">
        <x:v>Jan 2026</x:v>
      </x:c>
      <x:c r="F3" s="19" t="n">
        <x:v>3</x:v>
      </x:c>
      <x:c r="G3" s="19" t="n">
        <x:v>18</x:v>
      </x:c>
      <x:c r="H3" s="18" t="str">
        <x:v>Partial</x:v>
      </x:c>
      <x:c r="I3" s="20" t="str">
        <x:v>The kickoff call was friendly and the CSM understood our goals.</x:v>
      </x:c>
      <x:c r="J3" s="20" t="str">
        <x:v>After the call I still did not know the next step or who on our side should do it.</x:v>
      </x:c>
      <x:c r="K3" s="20" t="str">
        <x:v>Send a simple recap with the next three actions and owners.</x:v>
      </x:c>
      <x:c r="L3" s="20" t="str">
        <x:v>Handoff; Checklist; Progress visibility</x:v>
      </x:c>
      <x:c r="M3" s="20" t="str">
        <x:v>High</x:v>
      </x:c>
      <x:c r="N3" s="20" t="str">
        <x:v>CSM interview</x:v>
      </x:c>
      <x:c r="O3" s="21" t="str">
        <x:v>Supports need for kickoff recap template and visible next step.</x:v>
      </x:c>
    </x:row>
    <x:row r="4" ht="54" customHeight="1">
      <x:c r="A4" s="17" t="str">
        <x:v>F-002</x:v>
      </x:c>
      <x:c r="B4" s="18" t="str">
        <x:v>BrightCart</x:v>
      </x:c>
      <x:c r="C4" s="18" t="str">
        <x:v>Self-serve</x:v>
      </x:c>
      <x:c r="D4" s="18" t="str">
        <x:v>Operations Manager</x:v>
      </x:c>
      <x:c r="E4" s="18" t="str">
        <x:v>Feb 2026</x:v>
      </x:c>
      <x:c r="F4" s="19" t="n">
        <x:v>4</x:v>
      </x:c>
      <x:c r="G4" s="19" t="n">
        <x:v>8</x:v>
      </x:c>
      <x:c r="H4" s="18" t="str">
        <x:v>Complete</x:v>
      </x:c>
      <x:c r="I4" s="20" t="str">
        <x:v>The sample workspace helped me understand what a finished setup could look like.</x:v>
      </x:c>
      <x:c r="J4" s="20" t="str">
        <x:v>The import instructions were buried in a help article I only found after opening a ticket.</x:v>
      </x:c>
      <x:c r="K4" s="20" t="str">
        <x:v>Put import guidance directly in the setup flow.</x:v>
      </x:c>
      <x:c r="L4" s="20" t="str">
        <x:v>Data import; Help content; In-product guidance</x:v>
      </x:c>
      <x:c r="M4" s="20" t="str">
        <x:v>Medium</x:v>
      </x:c>
      <x:c r="N4" s="20" t="str">
        <x:v>Post-onboarding survey</x:v>
      </x:c>
      <x:c r="O4" s="21" t="str">
        <x:v>Shows opportunity for contextual help and updated help center links.</x:v>
      </x:c>
    </x:row>
    <x:row r="5" ht="54" customHeight="1">
      <x:c r="A5" s="17" t="str">
        <x:v>F-003</x:v>
      </x:c>
      <x:c r="B5" s="18" t="str">
        <x:v>Cedar Studio</x:v>
      </x:c>
      <x:c r="C5" s="18" t="str">
        <x:v>Self-serve</x:v>
      </x:c>
      <x:c r="D5" s="18" t="str">
        <x:v>Founder</x:v>
      </x:c>
      <x:c r="E5" s="18" t="str">
        <x:v>Jan 2026</x:v>
      </x:c>
      <x:c r="F5" s="19" t="n">
        <x:v>2</x:v>
      </x:c>
      <x:c r="G5" s="19" t="n">
        <x:v>21</x:v>
      </x:c>
      <x:c r="H5" s="18" t="str">
        <x:v>Stalled</x:v>
      </x:c>
      <x:c r="I5" s="20" t="str">
        <x:v>The welcome email made the product sound powerful.</x:v>
      </x:c>
      <x:c r="J5" s="20" t="str">
        <x:v>I got a long list of links but no clear path for a small team getting started.</x:v>
      </x:c>
      <x:c r="K5" s="20" t="str">
        <x:v>Give small teams one recommended path instead of a resource dump.</x:v>
      </x:c>
      <x:c r="L5" s="20" t="str">
        <x:v>Email; Checklist; Role-based guidance</x:v>
      </x:c>
      <x:c r="M5" s="20" t="str">
        <x:v>High</x:v>
      </x:c>
      <x:c r="N5" s="20" t="str">
        <x:v>Support ticket follow-up</x:v>
      </x:c>
      <x:c r="O5" s="21" t="str">
        <x:v>Highlights need to simplify welcome email and role-based path.</x:v>
      </x:c>
    </x:row>
    <x:row r="6" ht="54" customHeight="1">
      <x:c r="A6" s="17" t="str">
        <x:v>F-004</x:v>
      </x:c>
      <x:c r="B6" s="18" t="str">
        <x:v>Dovetail Health</x:v>
      </x:c>
      <x:c r="C6" s="18" t="str">
        <x:v>Mid-market</x:v>
      </x:c>
      <x:c r="D6" s="18" t="str">
        <x:v>IT Admin</x:v>
      </x:c>
      <x:c r="E6" s="18" t="str">
        <x:v>Mar 2026</x:v>
      </x:c>
      <x:c r="F6" s="19" t="n">
        <x:v>3</x:v>
      </x:c>
      <x:c r="G6" s="19" t="n">
        <x:v>15</x:v>
      </x:c>
      <x:c r="H6" s="18" t="str">
        <x:v>Partial</x:v>
      </x:c>
      <x:c r="I6" s="20" t="str">
        <x:v>Our CSM was responsive when we had security questions.</x:v>
      </x:c>
      <x:c r="J6" s="20" t="str">
        <x:v>Permissions were confusing. I could not tell which roles were safe to give to contractors.</x:v>
      </x:c>
      <x:c r="K6" s="20" t="str">
        <x:v>Add a plain-language permissions guide during setup.</x:v>
      </x:c>
      <x:c r="L6" s="20" t="str">
        <x:v>Permissions; Help content; Admin path</x:v>
      </x:c>
      <x:c r="M6" s="20" t="str">
        <x:v>High</x:v>
      </x:c>
      <x:c r="N6" s="20" t="str">
        <x:v>CSM interview</x:v>
      </x:c>
      <x:c r="O6" s="21" t="str">
        <x:v>Supports admin path and must-update support article list.</x:v>
      </x:c>
    </x:row>
    <x:row r="7" ht="54" customHeight="1">
      <x:c r="A7" s="17" t="str">
        <x:v>F-005</x:v>
      </x:c>
      <x:c r="B7" s="18" t="str">
        <x:v>Evergreen Labs</x:v>
      </x:c>
      <x:c r="C7" s="18" t="str">
        <x:v>Self-serve</x:v>
      </x:c>
      <x:c r="D7" s="18" t="str">
        <x:v>Team Lead</x:v>
      </x:c>
      <x:c r="E7" s="18" t="str">
        <x:v>Feb 2026</x:v>
      </x:c>
      <x:c r="F7" s="19" t="n">
        <x:v>5</x:v>
      </x:c>
      <x:c r="G7" s="19" t="n">
        <x:v>5</x:v>
      </x:c>
      <x:c r="H7" s="18" t="str">
        <x:v>Complete</x:v>
      </x:c>
      <x:c r="I7" s="20" t="str">
        <x:v>The short product tour helped our team complete the first workflow quickly.</x:v>
      </x:c>
      <x:c r="J7" s="20" t="str">
        <x:v>I wish the product remembered which steps we had already finished.</x:v>
      </x:c>
      <x:c r="K7" s="20" t="str">
        <x:v>Show progress and mark completed steps.</x:v>
      </x:c>
      <x:c r="L7" s="20" t="str">
        <x:v>Progress visibility; Checklist; Product tour</x:v>
      </x:c>
      <x:c r="M7" s="20" t="str">
        <x:v>Low</x:v>
      </x:c>
      <x:c r="N7" s="20" t="str">
        <x:v>Post-onboarding survey</x:v>
      </x:c>
      <x:c r="O7" s="21" t="str">
        <x:v>Positive signal for product tour plus visible progress.</x:v>
      </x:c>
    </x:row>
    <x:row r="8" ht="54" customHeight="1">
      <x:c r="A8" s="17" t="str">
        <x:v>F-006</x:v>
      </x:c>
      <x:c r="B8" s="18" t="str">
        <x:v>Fable Finance</x:v>
      </x:c>
      <x:c r="C8" s="18" t="str">
        <x:v>Mid-market</x:v>
      </x:c>
      <x:c r="D8" s="18" t="str">
        <x:v>Department VP</x:v>
      </x:c>
      <x:c r="E8" s="18" t="str">
        <x:v>Mar 2026</x:v>
      </x:c>
      <x:c r="F8" s="19" t="n">
        <x:v>2</x:v>
      </x:c>
      <x:c r="G8" s="19" t="n">
        <x:v>24</x:v>
      </x:c>
      <x:c r="H8" s="18" t="str">
        <x:v>Stalled</x:v>
      </x:c>
      <x:c r="I8" s="20" t="str">
        <x:v>The sales process gave us confidence that the product fit our use case.</x:v>
      </x:c>
      <x:c r="J8" s="20" t="str">
        <x:v>Sales said onboarding would feel hands-on, but after signup we mostly received automated emails.</x:v>
      </x:c>
      <x:c r="K8" s="20" t="str">
        <x:v>Set clearer expectations about when a person will help us.</x:v>
      </x:c>
      <x:c r="L8" s="20" t="str">
        <x:v>Support expectations; Handoff; Email</x:v>
      </x:c>
      <x:c r="M8" s="20" t="str">
        <x:v>High</x:v>
      </x:c>
      <x:c r="N8" s="20" t="str">
        <x:v>Executive sponsor call</x:v>
      </x:c>
      <x:c r="O8" s="21" t="str">
        <x:v>Supports risk about overpromising concierge onboarding.</x:v>
      </x:c>
    </x:row>
    <x:row r="9" ht="54" customHeight="1">
      <x:c r="A9" s="17" t="str">
        <x:v>F-007</x:v>
      </x:c>
      <x:c r="B9" s="18" t="str">
        <x:v>Granite Retail</x:v>
      </x:c>
      <x:c r="C9" s="18" t="str">
        <x:v>Self-serve</x:v>
      </x:c>
      <x:c r="D9" s="18" t="str">
        <x:v>Store Operations</x:v>
      </x:c>
      <x:c r="E9" s="18" t="str">
        <x:v>Apr 2026</x:v>
      </x:c>
      <x:c r="F9" s="19" t="n">
        <x:v>4</x:v>
      </x:c>
      <x:c r="G9" s="19" t="n">
        <x:v>9</x:v>
      </x:c>
      <x:c r="H9" s="18" t="str">
        <x:v>Complete</x:v>
      </x:c>
      <x:c r="I9" s="20" t="str">
        <x:v>The checklist in the trial made it easy to see what mattered first.</x:v>
      </x:c>
      <x:c r="J9" s="20" t="str">
        <x:v>Once we upgraded, the checklist disappeared and we were not sure what changed.</x:v>
      </x:c>
      <x:c r="K9" s="20" t="str">
        <x:v>Keep the same next-step guidance after purchase.</x:v>
      </x:c>
      <x:c r="L9" s="20" t="str">
        <x:v>Checklist; Progress visibility; Handoff</x:v>
      </x:c>
      <x:c r="M9" s="20" t="str">
        <x:v>Medium</x:v>
      </x:c>
      <x:c r="N9" s="20" t="str">
        <x:v>Post-onboarding survey</x:v>
      </x:c>
      <x:c r="O9" s="21" t="str">
        <x:v>Suggests continuity from trial to paid onboarding.</x:v>
      </x:c>
    </x:row>
    <x:row r="10" ht="54" customHeight="1">
      <x:c r="A10" s="17" t="str">
        <x:v>F-008</x:v>
      </x:c>
      <x:c r="B10" s="18" t="str">
        <x:v>Harbor Legal</x:v>
      </x:c>
      <x:c r="C10" s="18" t="str">
        <x:v>Mid-market</x:v>
      </x:c>
      <x:c r="D10" s="18" t="str">
        <x:v>Practice Manager</x:v>
      </x:c>
      <x:c r="E10" s="18" t="str">
        <x:v>Feb 2026</x:v>
      </x:c>
      <x:c r="F10" s="19" t="n">
        <x:v>3</x:v>
      </x:c>
      <x:c r="G10" s="19" t="n">
        <x:v>16</x:v>
      </x:c>
      <x:c r="H10" s="18" t="str">
        <x:v>Partial</x:v>
      </x:c>
      <x:c r="I10" s="20" t="str">
        <x:v>The CSM recap was useful when we received one.</x:v>
      </x:c>
      <x:c r="J10" s="20" t="str">
        <x:v>Different people used different words for the same setup step, so we thought they were different tasks.</x:v>
      </x:c>
      <x:c r="K10" s="20" t="str">
        <x:v>Use the same labels in emails, product screens, and help articles.</x:v>
      </x:c>
      <x:c r="L10" s="20" t="str">
        <x:v>Terminology; Email; Help content</x:v>
      </x:c>
      <x:c r="M10" s="20" t="str">
        <x:v>Medium</x:v>
      </x:c>
      <x:c r="N10" s="20" t="str">
        <x:v>CSM interview</x:v>
      </x:c>
      <x:c r="O10" s="21" t="str">
        <x:v>Supports consistent language across channels.</x:v>
      </x:c>
    </x:row>
    <x:row r="11" ht="54" customHeight="1">
      <x:c r="A11" s="17" t="str">
        <x:v>F-009</x:v>
      </x:c>
      <x:c r="B11" s="18" t="str">
        <x:v>Iris Education</x:v>
      </x:c>
      <x:c r="C11" s="18" t="str">
        <x:v>Self-serve</x:v>
      </x:c>
      <x:c r="D11" s="18" t="str">
        <x:v>Program Coordinator</x:v>
      </x:c>
      <x:c r="E11" s="18" t="str">
        <x:v>Mar 2026</x:v>
      </x:c>
      <x:c r="F11" s="19" t="n">
        <x:v>4</x:v>
      </x:c>
      <x:c r="G11" s="19" t="n">
        <x:v>7</x:v>
      </x:c>
      <x:c r="H11" s="18" t="str">
        <x:v>Complete</x:v>
      </x:c>
      <x:c r="I11" s="20" t="str">
        <x:v>I liked that the first email told me what success would look like.</x:v>
      </x:c>
      <x:c r="J11" s="20" t="str">
        <x:v>The second and third emails felt disconnected from what I was doing in the product.</x:v>
      </x:c>
      <x:c r="K11" s="20" t="str">
        <x:v>Trigger emails based on setup progress, or make them more clearly tied to steps.</x:v>
      </x:c>
      <x:c r="L11" s="20" t="str">
        <x:v>Email; Progress visibility; Checklist</x:v>
      </x:c>
      <x:c r="M11" s="20" t="str">
        <x:v>Medium</x:v>
      </x:c>
      <x:c r="N11" s="20" t="str">
        <x:v>Post-onboarding survey</x:v>
      </x:c>
      <x:c r="O11" s="21" t="str">
        <x:v>Suggests tighter connection between email and product setup state.</x:v>
      </x:c>
    </x:row>
    <x:row r="12" ht="54" customHeight="1">
      <x:c r="A12" s="17" t="str">
        <x:v>F-010</x:v>
      </x:c>
      <x:c r="B12" s="18" t="str">
        <x:v>Juniper Foods</x:v>
      </x:c>
      <x:c r="C12" s="18" t="str">
        <x:v>Mid-market</x:v>
      </x:c>
      <x:c r="D12" s="18" t="str">
        <x:v>Data Lead</x:v>
      </x:c>
      <x:c r="E12" s="18" t="str">
        <x:v>Jan 2026</x:v>
      </x:c>
      <x:c r="F12" s="19" t="n">
        <x:v>2</x:v>
      </x:c>
      <x:c r="G12" s="19" t="n">
        <x:v>28</x:v>
      </x:c>
      <x:c r="H12" s="18" t="str">
        <x:v>Stalled</x:v>
      </x:c>
      <x:c r="I12" s="20" t="str">
        <x:v>The product team answered our integration question once we reached the right person.</x:v>
      </x:c>
      <x:c r="J12" s="20" t="str">
        <x:v>We spent almost a week formatting data because the import examples did not match our file.</x:v>
      </x:c>
      <x:c r="K12" s="20" t="str">
        <x:v>Provide sample files and validation messages before upload.</x:v>
      </x:c>
      <x:c r="L12" s="20" t="str">
        <x:v>Data import; Integrations; Help content</x:v>
      </x:c>
      <x:c r="M12" s="20" t="str">
        <x:v>High</x:v>
      </x:c>
      <x:c r="N12" s="20" t="str">
        <x:v>Support ticket follow-up</x:v>
      </x:c>
      <x:c r="O12" s="21" t="str">
        <x:v>Supports data import as high-priority friction point.</x:v>
      </x:c>
    </x:row>
    <x:row r="13" ht="54" customHeight="1">
      <x:c r="A13" s="17" t="str">
        <x:v>F-011</x:v>
      </x:c>
      <x:c r="B13" s="18" t="str">
        <x:v>KiteWorks Media</x:v>
      </x:c>
      <x:c r="C13" s="18" t="str">
        <x:v>Self-serve</x:v>
      </x:c>
      <x:c r="D13" s="18" t="str">
        <x:v>Marketing Ops</x:v>
      </x:c>
      <x:c r="E13" s="18" t="str">
        <x:v>Apr 2026</x:v>
      </x:c>
      <x:c r="F13" s="19" t="n">
        <x:v>5</x:v>
      </x:c>
      <x:c r="G13" s="19" t="n">
        <x:v>4</x:v>
      </x:c>
      <x:c r="H13" s="18" t="str">
        <x:v>Complete</x:v>
      </x:c>
      <x:c r="I13" s="20" t="str">
        <x:v>The quick-start video was concise and helped me explain the product to my team.</x:v>
      </x:c>
      <x:c r="J13" s="20" t="str">
        <x:v>I had to create my own internal checklist because the product did not give me one.</x:v>
      </x:c>
      <x:c r="K13" s="20" t="str">
        <x:v>Add a shareable checklist for champions.</x:v>
      </x:c>
      <x:c r="L13" s="20" t="str">
        <x:v>Role-based guidance; Checklist; Champion path</x:v>
      </x:c>
      <x:c r="M13" s="20" t="str">
        <x:v>Low</x:v>
      </x:c>
      <x:c r="N13" s="20" t="str">
        <x:v>Post-onboarding survey</x:v>
      </x:c>
      <x:c r="O13" s="21" t="str">
        <x:v>Positive signal for champion path and reusable customer checklist.</x:v>
      </x:c>
    </x:row>
    <x:row r="14" ht="54" customHeight="1">
      <x:c r="A14" s="17" t="str">
        <x:v>F-012</x:v>
      </x:c>
      <x:c r="B14" s="18" t="str">
        <x:v>Lumen Logistics</x:v>
      </x:c>
      <x:c r="C14" s="18" t="str">
        <x:v>Mid-market</x:v>
      </x:c>
      <x:c r="D14" s="18" t="str">
        <x:v>Implementation Lead</x:v>
      </x:c>
      <x:c r="E14" s="18" t="str">
        <x:v>Feb 2026</x:v>
      </x:c>
      <x:c r="F14" s="19" t="n">
        <x:v>3</x:v>
      </x:c>
      <x:c r="G14" s="19" t="n">
        <x:v>17</x:v>
      </x:c>
      <x:c r="H14" s="18" t="str">
        <x:v>Partial</x:v>
      </x:c>
      <x:c r="I14" s="20" t="str">
        <x:v>The kickoff helped align our internal team.</x:v>
      </x:c>
      <x:c r="J14" s="20" t="str">
        <x:v>The handoff from Sales missed two requirements we had discussed during evaluation.</x:v>
      </x:c>
      <x:c r="K14" s="20" t="str">
        <x:v>Carry key sales notes into the kickoff recap.</x:v>
      </x:c>
      <x:c r="L14" s="20" t="str">
        <x:v>Handoff; Sales expectations; CSM template</x:v>
      </x:c>
      <x:c r="M14" s="20" t="str">
        <x:v>High</x:v>
      </x:c>
      <x:c r="N14" s="20" t="str">
        <x:v>CSM interview</x:v>
      </x:c>
      <x:c r="O14" s="21" t="str">
        <x:v>Supports internal handoff improvement in project scope.</x:v>
      </x:c>
    </x:row>
    <x:row r="15" ht="54" customHeight="1">
      <x:c r="A15" s="17" t="str">
        <x:v>F-013</x:v>
      </x:c>
      <x:c r="B15" s="18" t="str">
        <x:v>Maple Robotics</x:v>
      </x:c>
      <x:c r="C15" s="18" t="str">
        <x:v>Self-serve</x:v>
      </x:c>
      <x:c r="D15" s="18" t="str">
        <x:v>Engineering Manager</x:v>
      </x:c>
      <x:c r="E15" s="18" t="str">
        <x:v>Mar 2026</x:v>
      </x:c>
      <x:c r="F15" s="19" t="n">
        <x:v>4</x:v>
      </x:c>
      <x:c r="G15" s="19" t="n">
        <x:v>10</x:v>
      </x:c>
      <x:c r="H15" s="18" t="str">
        <x:v>Complete</x:v>
      </x:c>
      <x:c r="I15" s="20" t="str">
        <x:v>The API setup article was detailed enough for our developer.</x:v>
      </x:c>
      <x:c r="J15" s="20" t="str">
        <x:v>Non-technical teammates could not tell what they were supposed to do next.</x:v>
      </x:c>
      <x:c r="K15" s="20" t="str">
        <x:v>Create separate admin and teammate guidance.</x:v>
      </x:c>
      <x:c r="L15" s="20" t="str">
        <x:v>Role-based guidance; Permissions; Help content</x:v>
      </x:c>
      <x:c r="M15" s="20" t="str">
        <x:v>Medium</x:v>
      </x:c>
      <x:c r="N15" s="20" t="str">
        <x:v>Post-onboarding survey</x:v>
      </x:c>
      <x:c r="O15" s="21" t="str">
        <x:v>Supports simple role-based paths.</x:v>
      </x:c>
    </x:row>
    <x:row r="16" ht="54" customHeight="1">
      <x:c r="A16" s="17" t="str">
        <x:v>F-014</x:v>
      </x:c>
      <x:c r="B16" s="18" t="str">
        <x:v>Noble Nonprofit</x:v>
      </x:c>
      <x:c r="C16" s="18" t="str">
        <x:v>Self-serve</x:v>
      </x:c>
      <x:c r="D16" s="18" t="str">
        <x:v>Executive Director</x:v>
      </x:c>
      <x:c r="E16" s="18" t="str">
        <x:v>Apr 2026</x:v>
      </x:c>
      <x:c r="F16" s="19" t="n">
        <x:v>2</x:v>
      </x:c>
      <x:c r="G16" s="19" t="n">
        <x:v>23</x:v>
      </x:c>
      <x:c r="H16" s="18" t="str">
        <x:v>Stalled</x:v>
      </x:c>
      <x:c r="I16" s="20" t="str">
        <x:v>The welcome message made us excited to start.</x:v>
      </x:c>
      <x:c r="J16" s="20" t="str">
        <x:v>I did not understand what first value meant. We logged in twice and then waited for someone to contact us.</x:v>
      </x:c>
      <x:c r="K16" s="20" t="str">
        <x:v>Explain the first useful outcome and how to reach it.</x:v>
      </x:c>
      <x:c r="L16" s="20" t="str">
        <x:v>First value; Email; Support expectations</x:v>
      </x:c>
      <x:c r="M16" s="20" t="str">
        <x:v>High</x:v>
      </x:c>
      <x:c r="N16" s="20" t="str">
        <x:v>Support ticket follow-up</x:v>
      </x:c>
      <x:c r="O16" s="21" t="str">
        <x:v>Supports need to define first value clearly for customers.</x:v>
      </x:c>
    </x:row>
    <x:row r="17" ht="54" customHeight="1">
      <x:c r="A17" s="17" t="str">
        <x:v>F-015</x:v>
      </x:c>
      <x:c r="B17" s="18" t="str">
        <x:v>Oakline Manufacturing</x:v>
      </x:c>
      <x:c r="C17" s="18" t="str">
        <x:v>Mid-market</x:v>
      </x:c>
      <x:c r="D17" s="18" t="str">
        <x:v>Systems Admin</x:v>
      </x:c>
      <x:c r="E17" s="18" t="str">
        <x:v>Jan 2026</x:v>
      </x:c>
      <x:c r="F17" s="19" t="n">
        <x:v>3</x:v>
      </x:c>
      <x:c r="G17" s="19" t="n">
        <x:v>19</x:v>
      </x:c>
      <x:c r="H17" s="18" t="str">
        <x:v>Partial</x:v>
      </x:c>
      <x:c r="I17" s="20" t="str">
        <x:v>The CSM was great once we scheduled time.</x:v>
      </x:c>
      <x:c r="J17" s="20" t="str">
        <x:v>We lost three days because integration authentication failed and the help article was outdated.</x:v>
      </x:c>
      <x:c r="K17" s="20" t="str">
        <x:v>Update integration docs before sending customers there.</x:v>
      </x:c>
      <x:c r="L17" s="20" t="str">
        <x:v>Integrations; Help content; Support expectations</x:v>
      </x:c>
      <x:c r="M17" s="20" t="str">
        <x:v>High</x:v>
      </x:c>
      <x:c r="N17" s="20" t="str">
        <x:v>Support ticket follow-up</x:v>
      </x:c>
      <x:c r="O17" s="21" t="str">
        <x:v>Supports help center QA as launch dependency.</x:v>
      </x:c>
    </x:row>
    <x:row r="18" ht="54" customHeight="1">
      <x:c r="A18" s="17" t="str">
        <x:v>F-016</x:v>
      </x:c>
      <x:c r="B18" s="18" t="str">
        <x:v>Pinecone HR</x:v>
      </x:c>
      <x:c r="C18" s="18" t="str">
        <x:v>Self-serve</x:v>
      </x:c>
      <x:c r="D18" s="18" t="str">
        <x:v>People Ops Lead</x:v>
      </x:c>
      <x:c r="E18" s="18" t="str">
        <x:v>Feb 2026</x:v>
      </x:c>
      <x:c r="F18" s="19" t="n">
        <x:v>4</x:v>
      </x:c>
      <x:c r="G18" s="19" t="n">
        <x:v>6</x:v>
      </x:c>
      <x:c r="H18" s="18" t="str">
        <x:v>Complete</x:v>
      </x:c>
      <x:c r="I18" s="20" t="str">
        <x:v>The onboarding email that named one concrete task was the most useful one.</x:v>
      </x:c>
      <x:c r="J18" s="20" t="str">
        <x:v>Other emails were too broad and sounded like marketing copy.</x:v>
      </x:c>
      <x:c r="K18" s="20" t="str">
        <x:v>Make every onboarding email point to one action.</x:v>
      </x:c>
      <x:c r="L18" s="20" t="str">
        <x:v>Email; Checklist; First value</x:v>
      </x:c>
      <x:c r="M18" s="20" t="str">
        <x:v>Medium</x:v>
      </x:c>
      <x:c r="N18" s="20" t="str">
        <x:v>Post-onboarding survey</x:v>
      </x:c>
      <x:c r="O18" s="21" t="str">
        <x:v>Supports tighter first-week email sequence.</x:v>
      </x:c>
    </x:row>
    <x:row r="19" ht="54" customHeight="1">
      <x:c r="A19" s="17" t="str">
        <x:v>F-017</x:v>
      </x:c>
      <x:c r="B19" s="18" t="str">
        <x:v>Quartz Security</x:v>
      </x:c>
      <x:c r="C19" s="18" t="str">
        <x:v>Mid-market</x:v>
      </x:c>
      <x:c r="D19" s="18" t="str">
        <x:v>Security Admin</x:v>
      </x:c>
      <x:c r="E19" s="18" t="str">
        <x:v>Mar 2026</x:v>
      </x:c>
      <x:c r="F19" s="19" t="n">
        <x:v>3</x:v>
      </x:c>
      <x:c r="G19" s="19" t="n">
        <x:v>14</x:v>
      </x:c>
      <x:c r="H19" s="18" t="str">
        <x:v>Partial</x:v>
      </x:c>
      <x:c r="I19" s="20" t="str">
        <x:v>We appreciated having a human CSM for security review.</x:v>
      </x:c>
      <x:c r="J19" s="20" t="str">
        <x:v>The product checklist told us to invite teammates before we finished permissions review.</x:v>
      </x:c>
      <x:c r="K19" s="20" t="str">
        <x:v>Let admins complete security and permissions before inviting the whole team.</x:v>
      </x:c>
      <x:c r="L19" s="20" t="str">
        <x:v>Permissions; Admin path; Checklist</x:v>
      </x:c>
      <x:c r="M19" s="20" t="str">
        <x:v>Medium</x:v>
      </x:c>
      <x:c r="N19" s="20" t="str">
        <x:v>CSM interview</x:v>
      </x:c>
      <x:c r="O19" s="21" t="str">
        <x:v>Supports admin-first sequencing and role-specific guidance.</x:v>
      </x:c>
    </x:row>
    <x:row r="20" ht="54" customHeight="1">
      <x:c r="A20" s="17" t="str">
        <x:v>F-018</x:v>
      </x:c>
      <x:c r="B20" s="18" t="str">
        <x:v>Riverbend Travel</x:v>
      </x:c>
      <x:c r="C20" s="18" t="str">
        <x:v>Self-serve</x:v>
      </x:c>
      <x:c r="D20" s="18" t="str">
        <x:v>Operations Lead</x:v>
      </x:c>
      <x:c r="E20" s="18" t="str">
        <x:v>Apr 2026</x:v>
      </x:c>
      <x:c r="F20" s="19" t="n">
        <x:v>5</x:v>
      </x:c>
      <x:c r="G20" s="19" t="n">
        <x:v>5</x:v>
      </x:c>
      <x:c r="H20" s="18" t="str">
        <x:v>Complete</x:v>
      </x:c>
      <x:c r="I20" s="20" t="str">
        <x:v>The fastest part was following the three-step setup list from our trial.</x:v>
      </x:c>
      <x:c r="J20" s="20" t="str">
        <x:v>I wanted the same list in the paid workspace so I could confirm we were done.</x:v>
      </x:c>
      <x:c r="K20" s="20" t="str">
        <x:v>Keep setup status visible after conversion.</x:v>
      </x:c>
      <x:c r="L20" s="20" t="str">
        <x:v>Progress visibility; Checklist; Trial handoff</x:v>
      </x:c>
      <x:c r="M20" s="20" t="str">
        <x:v>Low</x:v>
      </x:c>
      <x:c r="N20" s="20" t="str">
        <x:v>Post-onboarding survey</x:v>
      </x:c>
      <x:c r="O20" s="21" t="str">
        <x:v>Supports visible progress and trial-to-paid continuity.</x:v>
      </x:c>
    </x:row>
    <x:row r="21" ht="54" customHeight="1">
      <x:c r="A21" s="17" t="str">
        <x:v>F-019</x:v>
      </x:c>
      <x:c r="B21" s="18" t="str">
        <x:v>Solace Energy</x:v>
      </x:c>
      <x:c r="C21" s="18" t="str">
        <x:v>Mid-market</x:v>
      </x:c>
      <x:c r="D21" s="18" t="str">
        <x:v>Business Operations</x:v>
      </x:c>
      <x:c r="E21" s="18" t="str">
        <x:v>Jan 2026</x:v>
      </x:c>
      <x:c r="F21" s="19" t="n">
        <x:v>2</x:v>
      </x:c>
      <x:c r="G21" s="19" t="n">
        <x:v>26</x:v>
      </x:c>
      <x:c r="H21" s="18" t="str">
        <x:v>Stalled</x:v>
      </x:c>
      <x:c r="I21" s="20" t="str">
        <x:v>The team was responsive when we escalated.</x:v>
      </x:c>
      <x:c r="J21" s="20" t="str">
        <x:v>We did not know escalation was possible until our executive sponsor complained.</x:v>
      </x:c>
      <x:c r="K21" s="20" t="str">
        <x:v>Clarify support path and when to contact the CSM.</x:v>
      </x:c>
      <x:c r="L21" s="20" t="str">
        <x:v>Support expectations; Handoff; CSM template</x:v>
      </x:c>
      <x:c r="M21" s="20" t="str">
        <x:v>High</x:v>
      </x:c>
      <x:c r="N21" s="20" t="str">
        <x:v>Executive sponsor call</x:v>
      </x:c>
      <x:c r="O21" s="21" t="str">
        <x:v>Supports clear support model and expectation setting.</x:v>
      </x:c>
    </x:row>
    <x:row r="22" ht="54" customHeight="1">
      <x:c r="A22" s="22" t="str">
        <x:v>F-020</x:v>
      </x:c>
      <x:c r="B22" s="23" t="str">
        <x:v>Topaz Design Co</x:v>
      </x:c>
      <x:c r="C22" s="23" t="str">
        <x:v>Self-serve</x:v>
      </x:c>
      <x:c r="D22" s="23" t="str">
        <x:v>Design Ops</x:v>
      </x:c>
      <x:c r="E22" s="23" t="str">
        <x:v>Mar 2026</x:v>
      </x:c>
      <x:c r="F22" s="24" t="n">
        <x:v>4</x:v>
      </x:c>
      <x:c r="G22" s="24" t="n">
        <x:v>9</x:v>
      </x:c>
      <x:c r="H22" s="23" t="str">
        <x:v>Complete</x:v>
      </x:c>
      <x:c r="I22" s="25" t="str">
        <x:v>The product examples made it easier to imagine our own workspace.</x:v>
      </x:c>
      <x:c r="J22" s="25" t="str">
        <x:v>I had to search the help center to learn which template was best for a design team.</x:v>
      </x:c>
      <x:c r="K22" s="25" t="str">
        <x:v>Recommend a starting template based on role or team type.</x:v>
      </x:c>
      <x:c r="L22" s="25" t="str">
        <x:v>Role-based guidance; Help content; In-product guidance</x:v>
      </x:c>
      <x:c r="M22" s="25" t="str">
        <x:v>Medium</x:v>
      </x:c>
      <x:c r="N22" s="25" t="str">
        <x:v>Post-onboarding survey</x:v>
      </x:c>
      <x:c r="O22" s="26" t="str">
        <x:v>Supports role-based recommendations without a full training portal.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73ae8b32bd8844ea"/>
  </x:tableParts>
</x:worksheet>
</file>